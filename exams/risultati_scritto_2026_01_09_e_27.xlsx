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004672\AppData\Local\finance_course\exams\"/>
    </mc:Choice>
  </mc:AlternateContent>
  <xr:revisionPtr revIDLastSave="0" documentId="13_ncr:1_{9327C982-88A5-40BC-A8E6-16216AAF396E}" xr6:coauthVersionLast="47" xr6:coauthVersionMax="47" xr10:uidLastSave="{00000000-0000-0000-0000-000000000000}"/>
  <bookViews>
    <workbookView xWindow="1170" yWindow="1170" windowWidth="21600" windowHeight="11295" activeTab="1" xr2:uid="{6CFE4764-E1FB-4DB6-AB83-5FACA4F3BFDE}"/>
  </bookViews>
  <sheets>
    <sheet name="Sheet1" sheetId="1" r:id="rId1"/>
    <sheet name="2026-01-09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4" i="2" l="1"/>
  <c r="F25" i="2" s="1"/>
  <c r="E24" i="2"/>
  <c r="E25" i="2" s="1"/>
  <c r="D24" i="2"/>
  <c r="D25" i="2" s="1"/>
  <c r="C24" i="2"/>
  <c r="C25" i="2" s="1"/>
  <c r="A24" i="2"/>
  <c r="K23" i="2"/>
  <c r="K22" i="2"/>
  <c r="K21" i="2"/>
  <c r="K20" i="2"/>
  <c r="K19" i="2"/>
  <c r="K18" i="2"/>
  <c r="K2" i="2"/>
  <c r="K3" i="2"/>
  <c r="K4" i="2"/>
  <c r="K6" i="2"/>
  <c r="K7" i="2"/>
  <c r="K5" i="2"/>
  <c r="C8" i="2"/>
  <c r="J8" i="2"/>
  <c r="J9" i="2" s="1"/>
  <c r="I8" i="2"/>
  <c r="I9" i="2" s="1"/>
  <c r="H8" i="2"/>
  <c r="H9" i="2" s="1"/>
  <c r="G8" i="2"/>
  <c r="G9" i="2" s="1"/>
  <c r="F8" i="2"/>
  <c r="E8" i="2"/>
  <c r="D8" i="2"/>
  <c r="C9" i="1"/>
  <c r="C10" i="1" s="1"/>
  <c r="I8" i="1"/>
  <c r="I7" i="1"/>
  <c r="I6" i="1"/>
  <c r="I5" i="1"/>
  <c r="I4" i="1"/>
  <c r="I3" i="1"/>
  <c r="I2" i="1"/>
  <c r="D9" i="1"/>
  <c r="D10" i="1" s="1"/>
  <c r="G9" i="1"/>
  <c r="G10" i="1" s="1"/>
  <c r="A8" i="1"/>
  <c r="H9" i="1" s="1"/>
  <c r="H10" i="1" s="1"/>
  <c r="A8" i="2" l="1"/>
  <c r="C9" i="2"/>
  <c r="D9" i="2"/>
  <c r="E9" i="2"/>
  <c r="F9" i="2"/>
  <c r="E9" i="1"/>
  <c r="E10" i="1" s="1"/>
  <c r="F9" i="1"/>
  <c r="F10" i="1" s="1"/>
  <c r="A9" i="1"/>
</calcChain>
</file>

<file path=xl/sharedStrings.xml><?xml version="1.0" encoding="utf-8"?>
<sst xmlns="http://schemas.openxmlformats.org/spreadsheetml/2006/main" count="27" uniqueCount="21">
  <si>
    <t>Question</t>
  </si>
  <si>
    <t>Simone Allia</t>
  </si>
  <si>
    <t>Federico Ruggieri</t>
  </si>
  <si>
    <t>Andrea Fanani</t>
  </si>
  <si>
    <t>Peso domanda</t>
  </si>
  <si>
    <t>Camilla Corsini</t>
  </si>
  <si>
    <t>Erman Kideyis</t>
  </si>
  <si>
    <t>Gianmarco Ottaviano</t>
  </si>
  <si>
    <t>Voti per esercizio da 0 a 6</t>
  </si>
  <si>
    <t>Lorenzo Pecchi</t>
  </si>
  <si>
    <t>Lorenzo Leoncini</t>
  </si>
  <si>
    <t>Lakshay Dhingra</t>
  </si>
  <si>
    <t>Lorenzo Tinti</t>
  </si>
  <si>
    <t>Gunes Vitas</t>
  </si>
  <si>
    <t>????</t>
  </si>
  <si>
    <t>Thonza Jahal</t>
  </si>
  <si>
    <t>Laura Schnirpel</t>
  </si>
  <si>
    <t>NON MI SEMBRA ABBIA CHIESTO IL PROGETTO</t>
  </si>
  <si>
    <t>Tofig Mammadli</t>
  </si>
  <si>
    <t>Mervana Kudsi</t>
  </si>
  <si>
    <t>Ilenia Ciaccia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</si>
</sst>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0" xfId="0" applyNumberFormat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7C1CC-7A14-4608-8C6F-9766B477FFF6}">
  <sheetPr codeName="Sheet1"/>
  <dimension ref="A1:R11"/>
  <sheetViews>
    <sheetView zoomScale="120" zoomScaleNormal="120" workbookViewId="0">
      <selection sqref="A1:I11"/>
    </sheetView>
  </sheetViews>
  <sheetFormatPr defaultRowHeight="15" x14ac:dyDescent="0.25"/>
  <cols>
    <col min="1" max="1" width="14.140625" bestFit="1" customWidth="1"/>
    <col min="3" max="3" width="20.5703125" bestFit="1" customWidth="1"/>
    <col min="4" max="4" width="12.140625" bestFit="1" customWidth="1"/>
    <col min="5" max="5" width="16.5703125" bestFit="1" customWidth="1"/>
    <col min="6" max="6" width="13.85546875" bestFit="1" customWidth="1"/>
    <col min="7" max="7" width="14.28515625" bestFit="1" customWidth="1"/>
    <col min="8" max="8" width="13.7109375" bestFit="1" customWidth="1"/>
  </cols>
  <sheetData>
    <row r="1" spans="1:18" x14ac:dyDescent="0.25">
      <c r="A1" t="s">
        <v>4</v>
      </c>
      <c r="B1" s="2" t="s">
        <v>0</v>
      </c>
      <c r="C1" s="8" t="s">
        <v>7</v>
      </c>
      <c r="D1" s="3" t="s">
        <v>1</v>
      </c>
      <c r="E1" s="3" t="s">
        <v>2</v>
      </c>
      <c r="F1" s="3" t="s">
        <v>3</v>
      </c>
      <c r="G1" s="3" t="s">
        <v>5</v>
      </c>
      <c r="H1" s="3" t="s">
        <v>6</v>
      </c>
      <c r="I1" s="3"/>
      <c r="J1" s="3"/>
      <c r="K1" s="3"/>
      <c r="L1" s="1"/>
      <c r="M1" s="1"/>
      <c r="N1" s="1"/>
      <c r="O1" s="1"/>
      <c r="P1" s="1"/>
      <c r="Q1" s="1"/>
      <c r="R1" s="1"/>
    </row>
    <row r="2" spans="1:18" x14ac:dyDescent="0.25">
      <c r="A2" s="4">
        <v>6</v>
      </c>
      <c r="B2" s="3">
        <v>1</v>
      </c>
      <c r="C2" s="1">
        <v>3</v>
      </c>
      <c r="D2" s="1">
        <v>6</v>
      </c>
      <c r="E2" s="1">
        <v>2</v>
      </c>
      <c r="F2" s="1">
        <v>3</v>
      </c>
      <c r="G2" s="1">
        <v>3</v>
      </c>
      <c r="H2" s="1">
        <v>1</v>
      </c>
      <c r="I2" s="1">
        <f t="shared" ref="I2:I8" si="0">AVERAGE(D2:H2)</f>
        <v>3</v>
      </c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4">
        <v>6</v>
      </c>
      <c r="B3" s="3">
        <v>2</v>
      </c>
      <c r="C3" s="1">
        <v>3</v>
      </c>
      <c r="D3" s="1">
        <v>5</v>
      </c>
      <c r="E3" s="1">
        <v>3</v>
      </c>
      <c r="F3" s="1">
        <v>4</v>
      </c>
      <c r="G3" s="1">
        <v>3</v>
      </c>
      <c r="H3" s="1">
        <v>4</v>
      </c>
      <c r="I3" s="1">
        <f t="shared" si="0"/>
        <v>3.8</v>
      </c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4">
        <v>3</v>
      </c>
      <c r="B4" s="3">
        <v>3</v>
      </c>
      <c r="C4" s="1">
        <v>4</v>
      </c>
      <c r="D4" s="1">
        <v>2</v>
      </c>
      <c r="E4" s="1">
        <v>5</v>
      </c>
      <c r="F4" s="1">
        <v>2</v>
      </c>
      <c r="G4" s="1">
        <v>2</v>
      </c>
      <c r="H4" s="1">
        <v>2</v>
      </c>
      <c r="I4" s="1">
        <f t="shared" si="0"/>
        <v>2.6</v>
      </c>
      <c r="J4" s="1"/>
      <c r="K4" s="1"/>
      <c r="L4" s="1"/>
      <c r="M4" s="1"/>
      <c r="N4" s="1"/>
      <c r="O4" s="1"/>
      <c r="P4" s="1"/>
      <c r="Q4" s="1"/>
      <c r="R4" s="1"/>
    </row>
    <row r="5" spans="1:18" x14ac:dyDescent="0.25">
      <c r="A5" s="4">
        <v>3</v>
      </c>
      <c r="B5" s="3">
        <v>4</v>
      </c>
      <c r="C5" s="1">
        <v>4</v>
      </c>
      <c r="D5" s="1">
        <v>5</v>
      </c>
      <c r="E5" s="1">
        <v>5</v>
      </c>
      <c r="F5" s="1">
        <v>4</v>
      </c>
      <c r="G5" s="1">
        <v>3</v>
      </c>
      <c r="H5" s="1">
        <v>3</v>
      </c>
      <c r="I5" s="1">
        <f t="shared" si="0"/>
        <v>4</v>
      </c>
      <c r="J5" s="1"/>
      <c r="K5" s="1"/>
      <c r="L5" s="1"/>
      <c r="M5" s="1"/>
      <c r="N5" s="1"/>
      <c r="O5" s="1"/>
      <c r="P5" s="1"/>
      <c r="Q5" s="1"/>
      <c r="R5" s="1"/>
    </row>
    <row r="6" spans="1:18" x14ac:dyDescent="0.25">
      <c r="A6" s="4">
        <v>3</v>
      </c>
      <c r="B6" s="3">
        <v>5</v>
      </c>
      <c r="C6" s="1">
        <v>4</v>
      </c>
      <c r="D6" s="1">
        <v>5</v>
      </c>
      <c r="E6" s="1">
        <v>4</v>
      </c>
      <c r="F6" s="1">
        <v>5</v>
      </c>
      <c r="G6" s="1">
        <v>4</v>
      </c>
      <c r="H6" s="1">
        <v>2</v>
      </c>
      <c r="I6" s="1">
        <f t="shared" si="0"/>
        <v>4</v>
      </c>
      <c r="J6" s="1"/>
      <c r="K6" s="1"/>
      <c r="L6" s="1"/>
      <c r="M6" s="1"/>
      <c r="N6" s="1"/>
      <c r="O6" s="1"/>
      <c r="P6" s="1"/>
      <c r="Q6" s="1"/>
      <c r="R6" s="1"/>
    </row>
    <row r="7" spans="1:18" x14ac:dyDescent="0.25">
      <c r="A7" s="4">
        <v>4</v>
      </c>
      <c r="B7" s="3">
        <v>6</v>
      </c>
      <c r="C7" s="1">
        <v>3</v>
      </c>
      <c r="D7" s="1">
        <v>2</v>
      </c>
      <c r="E7" s="1">
        <v>2</v>
      </c>
      <c r="F7" s="1">
        <v>3</v>
      </c>
      <c r="G7" s="1">
        <v>0</v>
      </c>
      <c r="H7" s="1">
        <v>2</v>
      </c>
      <c r="I7" s="1">
        <f t="shared" si="0"/>
        <v>1.8</v>
      </c>
      <c r="J7" s="1"/>
      <c r="K7" s="1"/>
      <c r="L7" s="1"/>
      <c r="M7" s="1"/>
      <c r="N7" s="1"/>
      <c r="O7" s="1"/>
      <c r="P7" s="1"/>
      <c r="Q7" s="1"/>
      <c r="R7" s="1"/>
    </row>
    <row r="8" spans="1:18" ht="15.75" thickBot="1" x14ac:dyDescent="0.3">
      <c r="A8" s="4">
        <f>5</f>
        <v>5</v>
      </c>
      <c r="B8" s="5">
        <v>7</v>
      </c>
      <c r="C8" s="6">
        <v>3</v>
      </c>
      <c r="D8" s="6">
        <v>5</v>
      </c>
      <c r="E8" s="6">
        <v>4</v>
      </c>
      <c r="F8" s="6">
        <v>5</v>
      </c>
      <c r="G8" s="6">
        <v>0</v>
      </c>
      <c r="H8" s="6">
        <v>4</v>
      </c>
      <c r="I8" s="1">
        <f t="shared" si="0"/>
        <v>3.6</v>
      </c>
      <c r="J8" s="1"/>
      <c r="K8" s="1"/>
      <c r="L8" s="1"/>
      <c r="M8" s="1"/>
      <c r="N8" s="1"/>
      <c r="O8" s="1"/>
      <c r="P8" s="1"/>
      <c r="Q8" s="1"/>
      <c r="R8" s="1"/>
    </row>
    <row r="9" spans="1:18" ht="15.75" thickTop="1" x14ac:dyDescent="0.25">
      <c r="A9" s="4">
        <f>SUM(A2:A8)</f>
        <v>30</v>
      </c>
      <c r="C9" s="1">
        <f>SUMPRODUCT(C2:C8,$A2:$A8)/5</f>
        <v>19.8</v>
      </c>
      <c r="D9" s="1">
        <f t="shared" ref="D9:H9" si="1">SUMPRODUCT(D2:D8,$A2:$A8)/5</f>
        <v>27</v>
      </c>
      <c r="E9" s="1">
        <f t="shared" si="1"/>
        <v>20</v>
      </c>
      <c r="F9" s="1">
        <f t="shared" si="1"/>
        <v>22.4</v>
      </c>
      <c r="G9" s="1">
        <f t="shared" si="1"/>
        <v>12.6</v>
      </c>
      <c r="H9" s="1">
        <f t="shared" si="1"/>
        <v>15.8</v>
      </c>
    </row>
    <row r="10" spans="1:18" x14ac:dyDescent="0.25">
      <c r="B10" s="7">
        <v>0.75</v>
      </c>
      <c r="C10" s="1">
        <f>+$B$10*C9+(1-$B$10)*C11</f>
        <v>22.35</v>
      </c>
      <c r="D10">
        <f>+$B$10*D9+(1-$B$10)*D11</f>
        <v>27.75</v>
      </c>
      <c r="E10">
        <f t="shared" ref="E10:H10" si="2">+$B$10*E9+(1-$B$10)*E11</f>
        <v>22.5</v>
      </c>
      <c r="F10">
        <f t="shared" si="2"/>
        <v>24.299999999999997</v>
      </c>
      <c r="G10">
        <f t="shared" si="2"/>
        <v>16.95</v>
      </c>
      <c r="H10">
        <f t="shared" si="2"/>
        <v>19.350000000000001</v>
      </c>
    </row>
    <row r="11" spans="1:18" x14ac:dyDescent="0.25">
      <c r="C11" s="1">
        <v>30</v>
      </c>
      <c r="D11" s="1">
        <v>30</v>
      </c>
      <c r="E11" s="1">
        <v>30</v>
      </c>
      <c r="F11" s="1">
        <v>30</v>
      </c>
      <c r="G11" s="1">
        <v>30</v>
      </c>
      <c r="H11" s="1">
        <v>30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9E31F-A6AA-4051-BC57-551296F8774A}">
  <dimension ref="A1:N35"/>
  <sheetViews>
    <sheetView tabSelected="1" topLeftCell="A8" workbookViewId="0">
      <selection activeCell="F22" sqref="F22"/>
    </sheetView>
  </sheetViews>
  <sheetFormatPr defaultRowHeight="15" x14ac:dyDescent="0.25"/>
  <cols>
    <col min="3" max="3" width="20" bestFit="1" customWidth="1"/>
    <col min="4" max="4" width="17.42578125" bestFit="1" customWidth="1"/>
    <col min="5" max="5" width="25.85546875" bestFit="1" customWidth="1"/>
    <col min="6" max="6" width="18.28515625" customWidth="1"/>
    <col min="7" max="7" width="16.85546875" customWidth="1"/>
    <col min="8" max="8" width="16.42578125" customWidth="1"/>
    <col min="9" max="9" width="15.85546875" customWidth="1"/>
    <col min="10" max="10" width="15.42578125" customWidth="1"/>
  </cols>
  <sheetData>
    <row r="1" spans="1:14" x14ac:dyDescent="0.25">
      <c r="A1" t="s">
        <v>4</v>
      </c>
      <c r="B1" s="2" t="s">
        <v>0</v>
      </c>
      <c r="C1" s="3" t="s">
        <v>9</v>
      </c>
      <c r="D1" s="3" t="s">
        <v>10</v>
      </c>
      <c r="E1" s="9" t="s">
        <v>11</v>
      </c>
      <c r="F1" s="3" t="s">
        <v>12</v>
      </c>
      <c r="G1" s="3" t="s">
        <v>13</v>
      </c>
      <c r="H1" s="3" t="s">
        <v>14</v>
      </c>
      <c r="I1" s="9" t="s">
        <v>15</v>
      </c>
      <c r="J1" s="3" t="s">
        <v>16</v>
      </c>
      <c r="K1" s="3"/>
    </row>
    <row r="2" spans="1:14" x14ac:dyDescent="0.25">
      <c r="A2" s="4">
        <v>8</v>
      </c>
      <c r="B2" s="3">
        <v>1</v>
      </c>
      <c r="C2" s="1"/>
      <c r="D2" s="1"/>
      <c r="E2" s="1"/>
      <c r="F2" s="1"/>
      <c r="G2" s="1"/>
      <c r="H2" s="1"/>
      <c r="I2" s="1"/>
      <c r="J2" s="1"/>
      <c r="K2" s="1" t="e">
        <f t="shared" ref="K2:K4" si="0">AVERAGE(C2:J2)</f>
        <v>#DIV/0!</v>
      </c>
      <c r="N2" s="2" t="s">
        <v>8</v>
      </c>
    </row>
    <row r="3" spans="1:14" x14ac:dyDescent="0.25">
      <c r="A3" s="4">
        <v>8</v>
      </c>
      <c r="B3" s="3">
        <v>2</v>
      </c>
      <c r="C3" s="1"/>
      <c r="D3" s="1"/>
      <c r="E3" s="1"/>
      <c r="F3" s="1"/>
      <c r="G3" s="1"/>
      <c r="H3" s="1"/>
      <c r="I3" s="1"/>
      <c r="J3" s="1"/>
      <c r="K3" s="1" t="e">
        <f t="shared" si="0"/>
        <v>#DIV/0!</v>
      </c>
    </row>
    <row r="4" spans="1:14" x14ac:dyDescent="0.25">
      <c r="A4" s="4">
        <v>6</v>
      </c>
      <c r="B4" s="3">
        <v>3</v>
      </c>
      <c r="C4" s="1">
        <v>5</v>
      </c>
      <c r="D4" s="1">
        <v>5</v>
      </c>
      <c r="E4" s="1">
        <v>6</v>
      </c>
      <c r="F4" s="1">
        <v>4</v>
      </c>
      <c r="G4" s="1">
        <v>0</v>
      </c>
      <c r="H4" s="1">
        <v>2</v>
      </c>
      <c r="I4" s="1">
        <v>5</v>
      </c>
      <c r="J4" s="1">
        <v>3</v>
      </c>
      <c r="K4" s="1">
        <f t="shared" si="0"/>
        <v>3.75</v>
      </c>
    </row>
    <row r="5" spans="1:14" x14ac:dyDescent="0.25">
      <c r="A5" s="4">
        <v>3</v>
      </c>
      <c r="B5" s="3">
        <v>4</v>
      </c>
      <c r="C5" s="1">
        <v>3</v>
      </c>
      <c r="D5" s="1">
        <v>4</v>
      </c>
      <c r="E5" s="1">
        <v>6</v>
      </c>
      <c r="F5" s="1">
        <v>2</v>
      </c>
      <c r="G5" s="1">
        <v>1</v>
      </c>
      <c r="H5" s="1">
        <v>0</v>
      </c>
      <c r="I5" s="1">
        <v>0</v>
      </c>
      <c r="J5" s="1">
        <v>2</v>
      </c>
      <c r="K5" s="1">
        <f>AVERAGE(C5:J5)</f>
        <v>2.25</v>
      </c>
    </row>
    <row r="6" spans="1:14" x14ac:dyDescent="0.25">
      <c r="A6" s="4">
        <v>5</v>
      </c>
      <c r="B6" s="3">
        <v>5</v>
      </c>
      <c r="C6" s="1">
        <v>4</v>
      </c>
      <c r="D6" s="1">
        <v>5</v>
      </c>
      <c r="E6" s="1">
        <v>6</v>
      </c>
      <c r="F6" s="1">
        <v>4</v>
      </c>
      <c r="G6" s="1">
        <v>0</v>
      </c>
      <c r="H6" s="1">
        <v>0</v>
      </c>
      <c r="I6" s="1">
        <v>0</v>
      </c>
      <c r="J6" s="1">
        <v>3</v>
      </c>
      <c r="K6" s="1">
        <f t="shared" ref="K6:K7" si="1">AVERAGE(C6:J6)</f>
        <v>2.75</v>
      </c>
    </row>
    <row r="7" spans="1:14" x14ac:dyDescent="0.25">
      <c r="A7" s="4">
        <v>0</v>
      </c>
      <c r="B7" s="3">
        <v>6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f t="shared" si="1"/>
        <v>0</v>
      </c>
    </row>
    <row r="8" spans="1:14" x14ac:dyDescent="0.25">
      <c r="A8" s="10">
        <f>SUM(A2:A7)</f>
        <v>30</v>
      </c>
      <c r="B8" s="11"/>
      <c r="C8" s="12">
        <f t="shared" ref="C8:J8" si="2">SUMPRODUCT(C2:C7,$A2:$A7)/6</f>
        <v>9.8333333333333339</v>
      </c>
      <c r="D8" s="12">
        <f t="shared" si="2"/>
        <v>11.166666666666666</v>
      </c>
      <c r="E8" s="12">
        <f t="shared" si="2"/>
        <v>14</v>
      </c>
      <c r="F8" s="12">
        <f t="shared" si="2"/>
        <v>8.3333333333333339</v>
      </c>
      <c r="G8" s="12">
        <f t="shared" si="2"/>
        <v>0.5</v>
      </c>
      <c r="H8" s="12">
        <f t="shared" si="2"/>
        <v>2</v>
      </c>
      <c r="I8" s="12">
        <f t="shared" si="2"/>
        <v>5</v>
      </c>
      <c r="J8" s="12">
        <f t="shared" si="2"/>
        <v>6.5</v>
      </c>
    </row>
    <row r="9" spans="1:14" x14ac:dyDescent="0.25">
      <c r="B9" s="7">
        <v>0.75</v>
      </c>
      <c r="C9" s="1">
        <f t="shared" ref="C9:J9" si="3">+$B$9*C8+(1-$B$9)*C10</f>
        <v>14.875</v>
      </c>
      <c r="D9" s="1">
        <f t="shared" si="3"/>
        <v>15.875</v>
      </c>
      <c r="E9" s="1">
        <f t="shared" si="3"/>
        <v>18</v>
      </c>
      <c r="F9" s="1">
        <f t="shared" si="3"/>
        <v>13.75</v>
      </c>
      <c r="G9" s="1">
        <f t="shared" si="3"/>
        <v>7.875</v>
      </c>
      <c r="H9" s="1">
        <f t="shared" si="3"/>
        <v>9</v>
      </c>
      <c r="I9" s="1">
        <f t="shared" si="3"/>
        <v>11.25</v>
      </c>
      <c r="J9" s="1">
        <f t="shared" si="3"/>
        <v>12.375</v>
      </c>
    </row>
    <row r="10" spans="1:14" x14ac:dyDescent="0.25">
      <c r="C10" s="1">
        <v>30</v>
      </c>
      <c r="D10" s="1">
        <v>30</v>
      </c>
      <c r="E10" s="1">
        <v>30</v>
      </c>
      <c r="F10" s="1">
        <v>30</v>
      </c>
      <c r="G10" s="1">
        <v>30</v>
      </c>
      <c r="H10" s="1">
        <v>30</v>
      </c>
      <c r="I10" s="1">
        <v>30</v>
      </c>
      <c r="J10" s="1">
        <v>30</v>
      </c>
    </row>
    <row r="13" spans="1:14" x14ac:dyDescent="0.25">
      <c r="I13" s="13" t="s">
        <v>17</v>
      </c>
    </row>
    <row r="15" spans="1:14" x14ac:dyDescent="0.25">
      <c r="E15" s="1"/>
      <c r="F15" s="1"/>
      <c r="G15" s="1"/>
      <c r="H15" s="1"/>
      <c r="I15" s="1"/>
      <c r="J15" s="1"/>
    </row>
    <row r="16" spans="1:14" x14ac:dyDescent="0.25">
      <c r="E16" s="1"/>
      <c r="F16" s="1"/>
      <c r="G16" s="1"/>
      <c r="H16" s="1"/>
      <c r="I16" s="1"/>
      <c r="J16" s="1"/>
    </row>
    <row r="17" spans="1:14" x14ac:dyDescent="0.25">
      <c r="A17" t="s">
        <v>4</v>
      </c>
      <c r="B17" s="2" t="s">
        <v>0</v>
      </c>
      <c r="C17" s="3" t="s">
        <v>18</v>
      </c>
      <c r="D17" s="3" t="s">
        <v>13</v>
      </c>
      <c r="E17" s="3" t="s">
        <v>19</v>
      </c>
      <c r="F17" s="3" t="s">
        <v>20</v>
      </c>
      <c r="G17" s="1"/>
      <c r="H17" s="1"/>
      <c r="I17" s="1"/>
      <c r="J17" s="1"/>
      <c r="K17" s="3"/>
    </row>
    <row r="18" spans="1:14" x14ac:dyDescent="0.25">
      <c r="A18" s="4">
        <v>6</v>
      </c>
      <c r="B18" s="3">
        <v>1</v>
      </c>
      <c r="C18" s="1">
        <v>0</v>
      </c>
      <c r="D18" s="1">
        <v>0</v>
      </c>
      <c r="E18" s="1">
        <v>0</v>
      </c>
      <c r="F18" s="1">
        <v>0</v>
      </c>
      <c r="G18" s="1"/>
      <c r="H18" s="1"/>
      <c r="I18" s="1"/>
      <c r="J18" s="1"/>
      <c r="K18" s="1">
        <f t="shared" ref="K18:K20" si="4">AVERAGE(C18:J18)</f>
        <v>0</v>
      </c>
      <c r="N18" s="2" t="s">
        <v>8</v>
      </c>
    </row>
    <row r="19" spans="1:14" x14ac:dyDescent="0.25">
      <c r="A19" s="4">
        <v>6</v>
      </c>
      <c r="B19" s="3">
        <v>2</v>
      </c>
      <c r="C19" s="1">
        <v>0</v>
      </c>
      <c r="D19" s="1">
        <v>0</v>
      </c>
      <c r="E19" s="1">
        <v>0</v>
      </c>
      <c r="F19" s="1">
        <v>0</v>
      </c>
      <c r="G19" s="1"/>
      <c r="H19" s="1"/>
      <c r="I19" s="1"/>
      <c r="J19" s="1"/>
      <c r="K19" s="1">
        <f t="shared" si="4"/>
        <v>0</v>
      </c>
    </row>
    <row r="20" spans="1:14" x14ac:dyDescent="0.25">
      <c r="A20" s="4">
        <v>6</v>
      </c>
      <c r="B20" s="3">
        <v>3</v>
      </c>
      <c r="C20" s="1">
        <v>0</v>
      </c>
      <c r="D20" s="1">
        <v>0</v>
      </c>
      <c r="E20" s="1">
        <v>0</v>
      </c>
      <c r="F20" s="1">
        <v>0</v>
      </c>
      <c r="G20" s="1"/>
      <c r="H20" s="1"/>
      <c r="I20" s="1"/>
      <c r="J20" s="1"/>
      <c r="K20" s="1">
        <f t="shared" si="4"/>
        <v>0</v>
      </c>
    </row>
    <row r="21" spans="1:14" x14ac:dyDescent="0.25">
      <c r="A21" s="4">
        <v>4</v>
      </c>
      <c r="B21" s="3">
        <v>4</v>
      </c>
      <c r="C21" s="1">
        <v>1</v>
      </c>
      <c r="D21" s="1">
        <v>1</v>
      </c>
      <c r="E21" s="1">
        <v>4</v>
      </c>
      <c r="F21" s="1">
        <v>4</v>
      </c>
      <c r="G21" s="1"/>
      <c r="H21" s="1"/>
      <c r="I21" s="1"/>
      <c r="J21" s="1"/>
      <c r="K21" s="1">
        <f>AVERAGE(C21:J21)</f>
        <v>2.5</v>
      </c>
    </row>
    <row r="22" spans="1:14" x14ac:dyDescent="0.25">
      <c r="A22" s="4">
        <v>4</v>
      </c>
      <c r="B22" s="3">
        <v>5</v>
      </c>
      <c r="C22" s="1">
        <v>0</v>
      </c>
      <c r="D22" s="1">
        <v>0</v>
      </c>
      <c r="E22" s="1">
        <v>4</v>
      </c>
      <c r="F22" s="1">
        <v>0</v>
      </c>
      <c r="G22" s="1"/>
      <c r="H22" s="1"/>
      <c r="I22" s="1"/>
      <c r="J22" s="1"/>
      <c r="K22" s="1">
        <f t="shared" ref="K22:K23" si="5">AVERAGE(C22:J22)</f>
        <v>1</v>
      </c>
    </row>
    <row r="23" spans="1:14" x14ac:dyDescent="0.25">
      <c r="A23" s="4">
        <v>4</v>
      </c>
      <c r="B23" s="3">
        <v>6</v>
      </c>
      <c r="C23" s="1">
        <v>0</v>
      </c>
      <c r="D23" s="1">
        <v>0</v>
      </c>
      <c r="E23" s="1">
        <v>6</v>
      </c>
      <c r="F23" s="1">
        <v>6</v>
      </c>
      <c r="G23" s="1"/>
      <c r="H23" s="1"/>
      <c r="I23" s="1"/>
      <c r="J23" s="1"/>
      <c r="K23" s="1">
        <f t="shared" si="5"/>
        <v>3</v>
      </c>
    </row>
    <row r="24" spans="1:14" x14ac:dyDescent="0.25">
      <c r="A24" s="10">
        <f>SUM(A18:A23)</f>
        <v>30</v>
      </c>
      <c r="B24" s="11"/>
      <c r="C24" s="12">
        <f t="shared" ref="C24:F24" si="6">SUMPRODUCT(C18:C23,$A18:$A23)/6</f>
        <v>0.66666666666666663</v>
      </c>
      <c r="D24" s="12">
        <f t="shared" si="6"/>
        <v>0.66666666666666663</v>
      </c>
      <c r="E24" s="12">
        <f t="shared" si="6"/>
        <v>9.3333333333333339</v>
      </c>
      <c r="F24" s="12">
        <f t="shared" si="6"/>
        <v>6.666666666666667</v>
      </c>
      <c r="G24" s="12"/>
      <c r="H24" s="12"/>
      <c r="I24" s="12"/>
      <c r="J24" s="12"/>
    </row>
    <row r="25" spans="1:14" x14ac:dyDescent="0.25">
      <c r="B25" s="7">
        <v>0.75</v>
      </c>
      <c r="C25" s="1">
        <f t="shared" ref="C25:F25" si="7">+$B$9*C24+(1-$B$9)*C26</f>
        <v>8</v>
      </c>
      <c r="D25" s="1">
        <f t="shared" si="7"/>
        <v>8</v>
      </c>
      <c r="E25" s="1">
        <f t="shared" si="7"/>
        <v>14.5</v>
      </c>
      <c r="F25" s="1">
        <f t="shared" si="7"/>
        <v>12.5</v>
      </c>
      <c r="G25" s="1"/>
      <c r="H25" s="1"/>
      <c r="I25" s="1"/>
      <c r="J25" s="1"/>
    </row>
    <row r="26" spans="1:14" x14ac:dyDescent="0.25">
      <c r="C26" s="1">
        <v>30</v>
      </c>
      <c r="D26" s="1">
        <v>30</v>
      </c>
      <c r="E26" s="1">
        <v>30</v>
      </c>
      <c r="F26" s="1">
        <v>30</v>
      </c>
      <c r="G26" s="1"/>
      <c r="H26" s="1"/>
      <c r="I26" s="1"/>
      <c r="J26" s="1"/>
    </row>
    <row r="27" spans="1:14" x14ac:dyDescent="0.25"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4" x14ac:dyDescent="0.25"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4" x14ac:dyDescent="0.25"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4" x14ac:dyDescent="0.25"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4" x14ac:dyDescent="0.25"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4" x14ac:dyDescent="0.25"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3:12" x14ac:dyDescent="0.25"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3:12" x14ac:dyDescent="0.25"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3:12" x14ac:dyDescent="0.25">
      <c r="C35" s="1"/>
      <c r="D35" s="1"/>
      <c r="E35" s="1"/>
      <c r="F35" s="1"/>
      <c r="G35" s="1"/>
      <c r="H35" s="1"/>
      <c r="I35" s="1"/>
      <c r="J35" s="1"/>
      <c r="K35" s="1"/>
      <c r="L35" s="1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2026-01-09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 MATTEO (MPSCS-00200)</dc:creator>
  <cp:lastModifiedBy>SANI MATTEO (MPS-04196)</cp:lastModifiedBy>
  <dcterms:created xsi:type="dcterms:W3CDTF">2023-02-17T10:49:36Z</dcterms:created>
  <dcterms:modified xsi:type="dcterms:W3CDTF">2026-02-13T15:17:52Z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7db41dd-1c4d-458d-a2b8-1193dfc543bb_Enabled">
    <vt:lpwstr>true</vt:lpwstr>
  </property>
  <property fmtid="{D5CDD505-2E9C-101B-9397-08002B2CF9AE}" pid="3" name="MSIP_Label_37db41dd-1c4d-458d-a2b8-1193dfc543bb_SetDate">
    <vt:lpwstr>2025-01-13T09:13:34Z</vt:lpwstr>
  </property>
  <property fmtid="{D5CDD505-2E9C-101B-9397-08002B2CF9AE}" pid="4" name="MSIP_Label_37db41dd-1c4d-458d-a2b8-1193dfc543bb_Method">
    <vt:lpwstr>Standard</vt:lpwstr>
  </property>
  <property fmtid="{D5CDD505-2E9C-101B-9397-08002B2CF9AE}" pid="5" name="MSIP_Label_37db41dd-1c4d-458d-a2b8-1193dfc543bb_Name">
    <vt:lpwstr>Uso Interno</vt:lpwstr>
  </property>
  <property fmtid="{D5CDD505-2E9C-101B-9397-08002B2CF9AE}" pid="6" name="MSIP_Label_37db41dd-1c4d-458d-a2b8-1193dfc543bb_SiteId">
    <vt:lpwstr>402b15a5-7cb9-4d1b-85a3-49542f8bd230</vt:lpwstr>
  </property>
  <property fmtid="{D5CDD505-2E9C-101B-9397-08002B2CF9AE}" pid="7" name="MSIP_Label_37db41dd-1c4d-458d-a2b8-1193dfc543bb_ActionId">
    <vt:lpwstr>d0361103-51e7-4578-aa26-33e400a1ddbd</vt:lpwstr>
  </property>
  <property fmtid="{D5CDD505-2E9C-101B-9397-08002B2CF9AE}" pid="8" name="MSIP_Label_37db41dd-1c4d-458d-a2b8-1193dfc543bb_ContentBits">
    <vt:lpwstr>0</vt:lpwstr>
  </property>
</Properties>
</file>